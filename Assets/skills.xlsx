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bcde\Documents\gensokyo-simulator\assets\"/>
    </mc:Choice>
  </mc:AlternateContent>
  <xr:revisionPtr revIDLastSave="0" documentId="13_ncr:1_{C168A750-293E-40C0-A13C-C67900AC45C6}" xr6:coauthVersionLast="47" xr6:coauthVersionMax="47" xr10:uidLastSave="{00000000-0000-0000-0000-000000000000}"/>
  <bookViews>
    <workbookView xWindow="13530" yWindow="0" windowWidth="12160" windowHeight="13770" xr2:uid="{00000000-000D-0000-FFFF-FFFF00000000}"/>
  </bookViews>
  <sheets>
    <sheet name="Special" sheetId="2" r:id="rId1"/>
    <sheet name="General" sheetId="5" r:id="rId2"/>
    <sheet name="UA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6" l="1"/>
  <c r="E3" i="6"/>
  <c r="F3" i="6"/>
  <c r="G3" i="6"/>
  <c r="H3" i="6"/>
  <c r="I3" i="6"/>
  <c r="J3" i="6"/>
  <c r="K3" i="6"/>
  <c r="L3" i="6"/>
  <c r="M3" i="6"/>
  <c r="N3" i="6"/>
  <c r="C3" i="6"/>
</calcChain>
</file>

<file path=xl/sharedStrings.xml><?xml version="1.0" encoding="utf-8"?>
<sst xmlns="http://schemas.openxmlformats.org/spreadsheetml/2006/main" count="88" uniqueCount="78">
  <si>
    <t>技能树</t>
    <phoneticPr fontId="1" type="noConversion"/>
  </si>
  <si>
    <t>技能</t>
    <phoneticPr fontId="1" type="noConversion"/>
  </si>
  <si>
    <t>冷却回合</t>
    <phoneticPr fontId="1" type="noConversion"/>
  </si>
  <si>
    <t>范围</t>
    <phoneticPr fontId="1" type="noConversion"/>
  </si>
  <si>
    <t>效果</t>
    <phoneticPr fontId="1" type="noConversion"/>
  </si>
  <si>
    <t>Freeze</t>
    <phoneticPr fontId="1" type="noConversion"/>
  </si>
  <si>
    <t>Icefall</t>
    <phoneticPr fontId="1" type="noConversion"/>
  </si>
  <si>
    <t>Diamond Blizzard</t>
    <phoneticPr fontId="1" type="noConversion"/>
  </si>
  <si>
    <t>Minus K</t>
    <phoneticPr fontId="1" type="noConversion"/>
  </si>
  <si>
    <t>Perfect Glacialist</t>
    <phoneticPr fontId="1" type="noConversion"/>
  </si>
  <si>
    <t>Perfect Freeze</t>
    <phoneticPr fontId="1" type="noConversion"/>
  </si>
  <si>
    <t>SP消耗</t>
    <phoneticPr fontId="1" type="noConversion"/>
  </si>
  <si>
    <t>MP消耗</t>
    <phoneticPr fontId="1" type="noConversion"/>
  </si>
  <si>
    <t>40=&gt;10x3</t>
    <phoneticPr fontId="1" type="noConversion"/>
  </si>
  <si>
    <t>Star</t>
    <phoneticPr fontId="1" type="noConversion"/>
  </si>
  <si>
    <t>Stardust Reverie</t>
    <phoneticPr fontId="1" type="noConversion"/>
  </si>
  <si>
    <t>50=&gt;6x5</t>
    <phoneticPr fontId="1" type="noConversion"/>
  </si>
  <si>
    <t>Shoot</t>
    <phoneticPr fontId="1" type="noConversion"/>
  </si>
  <si>
    <t>Laser</t>
    <phoneticPr fontId="1" type="noConversion"/>
  </si>
  <si>
    <t>Final Spark</t>
    <phoneticPr fontId="1" type="noConversion"/>
  </si>
  <si>
    <t>Master Spark</t>
    <phoneticPr fontId="1" type="noConversion"/>
  </si>
  <si>
    <t>Illusion Laser</t>
    <phoneticPr fontId="1" type="noConversion"/>
  </si>
  <si>
    <t>Milky Way</t>
    <phoneticPr fontId="1" type="noConversion"/>
  </si>
  <si>
    <t>Non-Directional Laser</t>
    <phoneticPr fontId="1" type="noConversion"/>
  </si>
  <si>
    <t>Orrery's Solar System</t>
    <phoneticPr fontId="1" type="noConversion"/>
  </si>
  <si>
    <t>Blazing Star</t>
    <phoneticPr fontId="1" type="noConversion"/>
  </si>
  <si>
    <t>Asteroid Belt</t>
    <phoneticPr fontId="1" type="noConversion"/>
  </si>
  <si>
    <t>Shoot the Moon</t>
    <phoneticPr fontId="1" type="noConversion"/>
  </si>
  <si>
    <t>Bomb</t>
    <phoneticPr fontId="1" type="noConversion"/>
  </si>
  <si>
    <t>Dragon Meteor</t>
    <phoneticPr fontId="1" type="noConversion"/>
  </si>
  <si>
    <t>Magic Napalm</t>
  </si>
  <si>
    <t>Ground Stardust</t>
  </si>
  <si>
    <t>Devildom Torch</t>
    <phoneticPr fontId="1" type="noConversion"/>
  </si>
  <si>
    <t>Deep Ecological Bomb</t>
    <phoneticPr fontId="1" type="noConversion"/>
  </si>
  <si>
    <t>P</t>
    <phoneticPr fontId="1" type="noConversion"/>
  </si>
  <si>
    <t>Moonlight Ray</t>
    <phoneticPr fontId="1" type="noConversion"/>
  </si>
  <si>
    <t>Night Bird</t>
    <phoneticPr fontId="1" type="noConversion"/>
  </si>
  <si>
    <t>Demarcation</t>
    <phoneticPr fontId="1" type="noConversion"/>
  </si>
  <si>
    <t>Dark Side of the Moon</t>
    <phoneticPr fontId="1" type="noConversion"/>
  </si>
  <si>
    <t>Magic Dark</t>
    <phoneticPr fontId="1" type="noConversion"/>
  </si>
  <si>
    <t>效果   36x(8d,1.5-3s,6r)子弹：36颗8伤害，1.5-3格/回合的速度，最大移动距离6格的子弹</t>
    <phoneticPr fontId="1" type="noConversion"/>
  </si>
  <si>
    <t>Dark</t>
    <phoneticPr fontId="1" type="noConversion"/>
  </si>
  <si>
    <t>str</t>
    <phoneticPr fontId="1" type="noConversion"/>
  </si>
  <si>
    <t>dex</t>
    <phoneticPr fontId="1" type="noConversion"/>
  </si>
  <si>
    <t>con</t>
    <phoneticPr fontId="1" type="noConversion"/>
  </si>
  <si>
    <t>mag</t>
    <phoneticPr fontId="1" type="noConversion"/>
  </si>
  <si>
    <t>spi</t>
    <phoneticPr fontId="1" type="noConversion"/>
  </si>
  <si>
    <t>cun</t>
    <phoneticPr fontId="1" type="noConversion"/>
  </si>
  <si>
    <t>每点+2%体术伤害，+1普攻伤害</t>
    <phoneticPr fontId="1" type="noConversion"/>
  </si>
  <si>
    <t>每点+2%治疗系数，+5MaxHp</t>
    <phoneticPr fontId="1" type="noConversion"/>
  </si>
  <si>
    <t>每点+1%弹幕伤害，+2MaxSp</t>
    <phoneticPr fontId="1" type="noConversion"/>
  </si>
  <si>
    <t>每点+1%弹幕伤害，+1MaxMp，+0.1Mp回复</t>
    <phoneticPr fontId="1" type="noConversion"/>
  </si>
  <si>
    <t>3/3/2</t>
    <phoneticPr fontId="1" type="noConversion"/>
  </si>
  <si>
    <r>
      <t>对</t>
    </r>
    <r>
      <rPr>
        <b/>
        <sz val="11"/>
        <color theme="1"/>
        <rFont val="等线"/>
        <family val="3"/>
        <charset val="134"/>
        <scheme val="minor"/>
      </rPr>
      <t>2/3/4</t>
    </r>
    <r>
      <rPr>
        <sz val="11"/>
        <color theme="1"/>
        <rFont val="等线"/>
        <family val="2"/>
        <scheme val="minor"/>
      </rPr>
      <t xml:space="preserve">格所有敌人造成30体术伤害 </t>
    </r>
    <r>
      <rPr>
        <sz val="11"/>
        <color rgb="FFFF0000"/>
        <rFont val="等线"/>
        <family val="3"/>
        <charset val="134"/>
        <scheme val="minor"/>
      </rPr>
      <t>lv4：击退4格</t>
    </r>
    <phoneticPr fontId="1" type="noConversion"/>
  </si>
  <si>
    <r>
      <t>造成30弹幕伤害，并冰冻</t>
    </r>
    <r>
      <rPr>
        <b/>
        <sz val="11"/>
        <color theme="1"/>
        <rFont val="等线"/>
        <family val="3"/>
        <charset val="134"/>
        <scheme val="minor"/>
      </rPr>
      <t>3/5/7</t>
    </r>
    <r>
      <rPr>
        <sz val="11"/>
        <color theme="1"/>
        <rFont val="等线"/>
        <family val="2"/>
        <scheme val="minor"/>
      </rPr>
      <t xml:space="preserve">回合 </t>
    </r>
    <r>
      <rPr>
        <sz val="11"/>
        <color rgb="FFFF0000"/>
        <rFont val="等线"/>
        <family val="3"/>
        <charset val="134"/>
        <scheme val="minor"/>
      </rPr>
      <t>lv4：1格内其他单位冰冻3回合</t>
    </r>
    <phoneticPr fontId="1" type="noConversion"/>
  </si>
  <si>
    <r>
      <t>发出</t>
    </r>
    <r>
      <rPr>
        <b/>
        <sz val="11"/>
        <color theme="1"/>
        <rFont val="等线"/>
        <family val="3"/>
        <charset val="134"/>
        <scheme val="minor"/>
      </rPr>
      <t>3/6/6</t>
    </r>
    <r>
      <rPr>
        <sz val="11"/>
        <color theme="1"/>
        <rFont val="等线"/>
        <family val="2"/>
        <scheme val="minor"/>
      </rPr>
      <t xml:space="preserve">x(15d, 2s)子弹，对冰冻单位造成100%伤害 </t>
    </r>
    <r>
      <rPr>
        <sz val="11"/>
        <color rgb="FFFF0000"/>
        <rFont val="等线"/>
        <family val="3"/>
        <charset val="134"/>
        <scheme val="minor"/>
      </rPr>
      <t>lv4：延长冰冻2回合</t>
    </r>
    <phoneticPr fontId="1" type="noConversion"/>
  </si>
  <si>
    <t>5</t>
    <phoneticPr fontId="1" type="noConversion"/>
  </si>
  <si>
    <t>2/3/4</t>
    <phoneticPr fontId="1" type="noConversion"/>
  </si>
  <si>
    <r>
      <t>发出(15d, 5s)子弹，冰冻4回合，若已冰冻分裂出</t>
    </r>
    <r>
      <rPr>
        <b/>
        <sz val="11"/>
        <color theme="1"/>
        <rFont val="等线"/>
        <family val="3"/>
        <charset val="134"/>
        <scheme val="minor"/>
      </rPr>
      <t>18/36/54</t>
    </r>
    <r>
      <rPr>
        <sz val="11"/>
        <color theme="1"/>
        <rFont val="等线"/>
        <family val="2"/>
        <scheme val="minor"/>
      </rPr>
      <t xml:space="preserve">x(8d,1.5-3s,6r)子弹 </t>
    </r>
    <r>
      <rPr>
        <sz val="11"/>
        <color rgb="FFFF0000"/>
        <rFont val="等线"/>
        <family val="3"/>
        <charset val="134"/>
        <scheme val="minor"/>
      </rPr>
      <t>lv4：冰冻并分裂</t>
    </r>
    <phoneticPr fontId="1" type="noConversion"/>
  </si>
  <si>
    <r>
      <t>持续3回合，发出70x(12d,1-4s)子弹，</t>
    </r>
    <r>
      <rPr>
        <b/>
        <sz val="11"/>
        <color theme="1"/>
        <rFont val="等线"/>
        <family val="3"/>
        <charset val="134"/>
        <scheme val="minor"/>
      </rPr>
      <t>20%/30%/40%</t>
    </r>
    <r>
      <rPr>
        <sz val="11"/>
        <color theme="1"/>
        <rFont val="等线"/>
        <family val="2"/>
        <scheme val="minor"/>
      </rPr>
      <t>冰冻</t>
    </r>
    <r>
      <rPr>
        <b/>
        <sz val="11"/>
        <color theme="1"/>
        <rFont val="等线"/>
        <family val="3"/>
        <charset val="134"/>
        <scheme val="minor"/>
      </rPr>
      <t>4/5/6</t>
    </r>
    <r>
      <rPr>
        <sz val="11"/>
        <color theme="1"/>
        <rFont val="等线"/>
        <family val="2"/>
        <scheme val="minor"/>
      </rPr>
      <t>回合</t>
    </r>
    <r>
      <rPr>
        <sz val="11"/>
        <color rgb="FFFF0000"/>
        <rFont val="等线"/>
        <family val="3"/>
        <charset val="134"/>
        <scheme val="minor"/>
      </rPr>
      <t xml:space="preserve"> lv4：24冷却</t>
    </r>
    <phoneticPr fontId="1" type="noConversion"/>
  </si>
  <si>
    <t>4/5/6</t>
    <phoneticPr fontId="1" type="noConversion"/>
  </si>
  <si>
    <r>
      <t>发出</t>
    </r>
    <r>
      <rPr>
        <b/>
        <sz val="11"/>
        <color theme="1"/>
        <rFont val="等线"/>
        <family val="3"/>
        <charset val="134"/>
        <scheme val="minor"/>
      </rPr>
      <t>18/24/30</t>
    </r>
    <r>
      <rPr>
        <sz val="11"/>
        <color theme="1"/>
        <rFont val="等线"/>
        <family val="2"/>
        <scheme val="minor"/>
      </rPr>
      <t xml:space="preserve">x(4d,1s)子弹，额外造成50%体术伤害 </t>
    </r>
    <r>
      <rPr>
        <sz val="11"/>
        <color rgb="FFFF0000"/>
        <rFont val="等线"/>
        <family val="3"/>
        <charset val="134"/>
        <scheme val="minor"/>
      </rPr>
      <t>lv4：100%体术伤害</t>
    </r>
    <phoneticPr fontId="1" type="noConversion"/>
  </si>
  <si>
    <r>
      <t>视野中存在敌人时，每格移动</t>
    </r>
    <r>
      <rPr>
        <b/>
        <sz val="11"/>
        <color theme="1"/>
        <rFont val="等线"/>
        <family val="3"/>
        <charset val="134"/>
        <scheme val="minor"/>
      </rPr>
      <t>12%/18%/24%</t>
    </r>
    <r>
      <rPr>
        <sz val="11"/>
        <color theme="1"/>
        <rFont val="等线"/>
        <family val="2"/>
        <scheme val="minor"/>
      </rPr>
      <t xml:space="preserve">向其发射3x(10d, 3s, 12r)子弹 </t>
    </r>
    <r>
      <rPr>
        <sz val="11"/>
        <color rgb="FFFF0000"/>
        <rFont val="等线"/>
        <family val="3"/>
        <charset val="134"/>
        <scheme val="minor"/>
      </rPr>
      <t>lv4：击中后回复10MP</t>
    </r>
    <phoneticPr fontId="1" type="noConversion"/>
  </si>
  <si>
    <t>6/8/10</t>
    <phoneticPr fontId="1" type="noConversion"/>
  </si>
  <si>
    <r>
      <t xml:space="preserve">向一个敌人冲锋，造成30体术伤害，然后发出20x(8d, 1.5-3s, 6r)子弹 </t>
    </r>
    <r>
      <rPr>
        <sz val="11"/>
        <color rgb="FFFF0000"/>
        <rFont val="等线"/>
        <family val="3"/>
        <charset val="134"/>
        <scheme val="minor"/>
      </rPr>
      <t>lv4：5SP消耗</t>
    </r>
    <phoneticPr fontId="1" type="noConversion"/>
  </si>
  <si>
    <t>体术伤害损耗：1/距离^0.5</t>
    <phoneticPr fontId="1" type="noConversion"/>
  </si>
  <si>
    <r>
      <t>召唤一颗陨石，对</t>
    </r>
    <r>
      <rPr>
        <b/>
        <sz val="11"/>
        <color theme="1"/>
        <rFont val="等线"/>
        <family val="3"/>
        <charset val="134"/>
        <scheme val="minor"/>
      </rPr>
      <t>2/3/4</t>
    </r>
    <r>
      <rPr>
        <sz val="11"/>
        <color theme="1"/>
        <rFont val="等线"/>
        <family val="2"/>
        <scheme val="minor"/>
      </rPr>
      <t xml:space="preserve">格内敌人造成40弹幕伤害 </t>
    </r>
    <r>
      <rPr>
        <sz val="11"/>
        <color rgb="FFFF0000"/>
        <rFont val="等线"/>
        <family val="3"/>
        <charset val="134"/>
        <scheme val="minor"/>
      </rPr>
      <t>lv4：随机额外召唤一颗</t>
    </r>
    <phoneticPr fontId="1" type="noConversion"/>
  </si>
  <si>
    <r>
      <t>持续5回合，发出</t>
    </r>
    <r>
      <rPr>
        <b/>
        <sz val="11"/>
        <color theme="1"/>
        <rFont val="等线"/>
        <family val="3"/>
        <charset val="134"/>
        <scheme val="minor"/>
      </rPr>
      <t>150/190/230</t>
    </r>
    <r>
      <rPr>
        <sz val="11"/>
        <color theme="1"/>
        <rFont val="等线"/>
        <family val="2"/>
        <scheme val="minor"/>
      </rPr>
      <t>x(12d,2-6s)子弹，移动速度+</t>
    </r>
    <r>
      <rPr>
        <b/>
        <sz val="11"/>
        <color theme="1"/>
        <rFont val="等线"/>
        <family val="3"/>
        <charset val="134"/>
        <scheme val="minor"/>
      </rPr>
      <t xml:space="preserve">50%/100%/150% </t>
    </r>
    <r>
      <rPr>
        <sz val="11"/>
        <color rgb="FFFF0000"/>
        <rFont val="等线"/>
        <family val="3"/>
        <charset val="134"/>
        <scheme val="minor"/>
      </rPr>
      <t>lv4：子弹暴击率翻倍</t>
    </r>
    <phoneticPr fontId="1" type="noConversion"/>
  </si>
  <si>
    <t>8/10/12</t>
    <phoneticPr fontId="1" type="noConversion"/>
  </si>
  <si>
    <t>6/9/12</t>
    <phoneticPr fontId="1" type="noConversion"/>
  </si>
  <si>
    <r>
      <t>发射一道激光，造成40弹幕伤害，平衡击中伤害的</t>
    </r>
    <r>
      <rPr>
        <b/>
        <sz val="11"/>
        <color theme="1"/>
        <rFont val="等线"/>
        <family val="3"/>
        <charset val="134"/>
        <scheme val="minor"/>
      </rPr>
      <t>50%/75%/100%</t>
    </r>
    <r>
      <rPr>
        <sz val="11"/>
        <color theme="1"/>
        <rFont val="等线"/>
        <family val="2"/>
        <scheme val="minor"/>
      </rPr>
      <t xml:space="preserve">SP </t>
    </r>
    <r>
      <rPr>
        <sz val="11"/>
        <color rgb="FFFF0000"/>
        <rFont val="等线"/>
        <family val="3"/>
        <charset val="134"/>
        <scheme val="minor"/>
      </rPr>
      <t>lv4：眩晕3回合</t>
    </r>
    <phoneticPr fontId="1" type="noConversion"/>
  </si>
  <si>
    <r>
      <t>发出</t>
    </r>
    <r>
      <rPr>
        <b/>
        <sz val="11"/>
        <color theme="1"/>
        <rFont val="等线"/>
        <family val="3"/>
        <charset val="134"/>
        <scheme val="minor"/>
      </rPr>
      <t>7/9/11</t>
    </r>
    <r>
      <rPr>
        <sz val="11"/>
        <color theme="1"/>
        <rFont val="等线"/>
        <family val="2"/>
        <scheme val="minor"/>
      </rPr>
      <t>x(10d, 2-3s)子弹，额外造成(12-视野)*</t>
    </r>
    <r>
      <rPr>
        <b/>
        <sz val="11"/>
        <color theme="1"/>
        <rFont val="等线"/>
        <family val="3"/>
        <charset val="134"/>
        <scheme val="minor"/>
      </rPr>
      <t>4%/6%/8%</t>
    </r>
    <r>
      <rPr>
        <sz val="11"/>
        <color theme="1"/>
        <rFont val="等线"/>
        <family val="2"/>
        <scheme val="minor"/>
      </rPr>
      <t>伤害</t>
    </r>
    <r>
      <rPr>
        <sz val="11"/>
        <color rgb="FFFF0000"/>
        <rFont val="等线"/>
        <family val="3"/>
        <charset val="134"/>
        <scheme val="minor"/>
      </rPr>
      <t xml:space="preserve"> lv4：12范围</t>
    </r>
    <phoneticPr fontId="1" type="noConversion"/>
  </si>
  <si>
    <r>
      <t xml:space="preserve">向一个敌人冲锋，造成30体术伤害，若处于视野外伤害+50% </t>
    </r>
    <r>
      <rPr>
        <sz val="11"/>
        <color rgb="FFFF0000"/>
        <rFont val="等线"/>
        <family val="3"/>
        <charset val="134"/>
        <scheme val="minor"/>
      </rPr>
      <t>lv4：视野外伤害+100%</t>
    </r>
    <phoneticPr fontId="1" type="noConversion"/>
  </si>
  <si>
    <t>24/18/12</t>
    <phoneticPr fontId="1" type="noConversion"/>
  </si>
  <si>
    <r>
      <t>使一个格子或一个单位周围</t>
    </r>
    <r>
      <rPr>
        <b/>
        <sz val="11"/>
        <color theme="1"/>
        <rFont val="等线"/>
        <family val="3"/>
        <charset val="134"/>
        <scheme val="minor"/>
      </rPr>
      <t>3/4/5</t>
    </r>
    <r>
      <rPr>
        <sz val="11"/>
        <color theme="1"/>
        <rFont val="等线"/>
        <family val="2"/>
        <scheme val="minor"/>
      </rPr>
      <t xml:space="preserve">格进入黑暗5回合 </t>
    </r>
    <r>
      <rPr>
        <sz val="11"/>
        <color rgb="FFFF0000"/>
        <rFont val="等线"/>
        <family val="3"/>
        <charset val="134"/>
        <scheme val="minor"/>
      </rPr>
      <t>lv4：造成15点弹幕伤害</t>
    </r>
    <phoneticPr fontId="1" type="noConversion"/>
  </si>
  <si>
    <r>
      <t>持续4回合，周围</t>
    </r>
    <r>
      <rPr>
        <b/>
        <sz val="11"/>
        <color theme="1"/>
        <rFont val="等线"/>
        <family val="3"/>
        <charset val="134"/>
        <scheme val="minor"/>
      </rPr>
      <t>6/8/10</t>
    </r>
    <r>
      <rPr>
        <sz val="11"/>
        <color theme="1"/>
        <rFont val="等线"/>
        <family val="2"/>
        <scheme val="minor"/>
      </rPr>
      <t>格进入黑暗</t>
    </r>
    <r>
      <rPr>
        <b/>
        <sz val="11"/>
        <color theme="1"/>
        <rFont val="等线"/>
        <family val="3"/>
        <charset val="134"/>
        <scheme val="minor"/>
      </rPr>
      <t>3/4/5</t>
    </r>
    <r>
      <rPr>
        <sz val="11"/>
        <color theme="1"/>
        <rFont val="等线"/>
        <family val="2"/>
        <scheme val="minor"/>
      </rPr>
      <t xml:space="preserve">回合，发出120x(10d, 2s)子弹 </t>
    </r>
    <r>
      <rPr>
        <sz val="11"/>
        <color rgb="FFFF0000"/>
        <rFont val="等线"/>
        <family val="3"/>
        <charset val="134"/>
        <scheme val="minor"/>
      </rPr>
      <t>lv4：黑暗状态下敌人的击破伤害减半</t>
    </r>
    <phoneticPr fontId="1" type="noConversion"/>
  </si>
  <si>
    <t>每点+1%整体速度，+1%体术命中，+1%体术回避</t>
    <phoneticPr fontId="1" type="noConversion"/>
  </si>
  <si>
    <t>每点+1装备负重，+1背包负重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</si>
</sst>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5675-534F-4000-A049-EB2813DDF9D0}">
  <dimension ref="A1:G26"/>
  <sheetViews>
    <sheetView tabSelected="1" workbookViewId="0">
      <selection activeCell="G20" sqref="G20"/>
    </sheetView>
  </sheetViews>
  <sheetFormatPr defaultRowHeight="20" customHeight="1" x14ac:dyDescent="0.3"/>
  <cols>
    <col min="1" max="1" width="22.6640625" style="3" customWidth="1"/>
    <col min="2" max="2" width="21.5" style="3" customWidth="1"/>
    <col min="3" max="3" width="11.58203125" style="3" customWidth="1"/>
    <col min="4" max="4" width="11.25" style="3" customWidth="1"/>
    <col min="5" max="5" width="10.75" style="3" customWidth="1"/>
    <col min="6" max="6" width="10.25" style="3" customWidth="1"/>
    <col min="7" max="7" width="121" style="4" customWidth="1"/>
    <col min="8" max="16384" width="8.6640625" style="5"/>
  </cols>
  <sheetData>
    <row r="1" spans="1:7" ht="2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11</v>
      </c>
      <c r="F1" s="3" t="s">
        <v>12</v>
      </c>
      <c r="G1" s="4" t="s">
        <v>40</v>
      </c>
    </row>
    <row r="2" spans="1:7" ht="20" customHeight="1" x14ac:dyDescent="0.3">
      <c r="A2" s="9" t="s">
        <v>5</v>
      </c>
      <c r="B2" s="3" t="s">
        <v>6</v>
      </c>
      <c r="C2" s="6" t="s">
        <v>52</v>
      </c>
      <c r="D2" s="3">
        <v>10</v>
      </c>
      <c r="E2" s="3">
        <v>3</v>
      </c>
      <c r="F2" s="3">
        <v>0</v>
      </c>
      <c r="G2" s="4" t="s">
        <v>55</v>
      </c>
    </row>
    <row r="3" spans="1:7" ht="20" customHeight="1" x14ac:dyDescent="0.3">
      <c r="A3" s="9"/>
      <c r="B3" s="3" t="s">
        <v>8</v>
      </c>
      <c r="C3" s="3">
        <v>8</v>
      </c>
      <c r="D3" s="3">
        <v>10</v>
      </c>
      <c r="E3" s="3">
        <v>5</v>
      </c>
      <c r="F3" s="3">
        <v>5</v>
      </c>
      <c r="G3" s="4" t="s">
        <v>54</v>
      </c>
    </row>
    <row r="4" spans="1:7" ht="20" customHeight="1" x14ac:dyDescent="0.3">
      <c r="A4" s="9"/>
      <c r="B4" s="3" t="s">
        <v>7</v>
      </c>
      <c r="C4" s="3">
        <v>8</v>
      </c>
      <c r="D4" s="6" t="s">
        <v>57</v>
      </c>
      <c r="E4" s="3">
        <v>5</v>
      </c>
      <c r="F4" s="3">
        <v>0</v>
      </c>
      <c r="G4" s="4" t="s">
        <v>53</v>
      </c>
    </row>
    <row r="5" spans="1:7" ht="20" customHeight="1" x14ac:dyDescent="0.3">
      <c r="A5" s="9"/>
      <c r="B5" s="3" t="s">
        <v>9</v>
      </c>
      <c r="C5" s="3">
        <v>8</v>
      </c>
      <c r="D5" s="3">
        <v>10</v>
      </c>
      <c r="E5" s="3" t="s">
        <v>56</v>
      </c>
      <c r="F5" s="3">
        <v>5</v>
      </c>
      <c r="G5" s="4" t="s">
        <v>58</v>
      </c>
    </row>
    <row r="6" spans="1:7" ht="20" customHeight="1" x14ac:dyDescent="0.3">
      <c r="A6" s="9"/>
      <c r="B6" s="3" t="s">
        <v>10</v>
      </c>
      <c r="C6" s="3">
        <v>28</v>
      </c>
      <c r="D6" s="3">
        <v>12</v>
      </c>
      <c r="E6" s="3" t="s">
        <v>13</v>
      </c>
      <c r="F6" s="3">
        <v>0</v>
      </c>
      <c r="G6" s="4" t="s">
        <v>59</v>
      </c>
    </row>
    <row r="7" spans="1:7" ht="20" customHeight="1" x14ac:dyDescent="0.3">
      <c r="A7" s="9" t="s">
        <v>14</v>
      </c>
      <c r="B7" s="3" t="s">
        <v>26</v>
      </c>
      <c r="C7" s="3">
        <v>4</v>
      </c>
      <c r="D7" s="6" t="s">
        <v>60</v>
      </c>
      <c r="E7" s="3">
        <v>3</v>
      </c>
      <c r="F7" s="3">
        <v>1</v>
      </c>
      <c r="G7" s="4" t="s">
        <v>61</v>
      </c>
    </row>
    <row r="8" spans="1:7" ht="20" customHeight="1" x14ac:dyDescent="0.3">
      <c r="A8" s="9"/>
      <c r="B8" s="3" t="s">
        <v>22</v>
      </c>
      <c r="C8" s="3" t="s">
        <v>34</v>
      </c>
      <c r="D8" s="3" t="s">
        <v>34</v>
      </c>
      <c r="E8" s="3" t="s">
        <v>34</v>
      </c>
      <c r="F8" s="3" t="s">
        <v>34</v>
      </c>
      <c r="G8" s="4" t="s">
        <v>62</v>
      </c>
    </row>
    <row r="9" spans="1:7" ht="20" customHeight="1" x14ac:dyDescent="0.3">
      <c r="A9" s="9"/>
      <c r="B9" s="3" t="s">
        <v>25</v>
      </c>
      <c r="C9" s="3">
        <v>12</v>
      </c>
      <c r="D9" s="6" t="s">
        <v>63</v>
      </c>
      <c r="E9" s="3">
        <v>-5</v>
      </c>
      <c r="F9" s="3">
        <v>5</v>
      </c>
      <c r="G9" s="4" t="s">
        <v>64</v>
      </c>
    </row>
    <row r="10" spans="1:7" ht="20" customHeight="1" x14ac:dyDescent="0.3">
      <c r="A10" s="9"/>
      <c r="B10" s="3" t="s">
        <v>29</v>
      </c>
      <c r="C10" s="3">
        <v>16</v>
      </c>
      <c r="D10" s="3">
        <v>12</v>
      </c>
      <c r="E10" s="3">
        <v>-5</v>
      </c>
      <c r="F10" s="3">
        <v>10</v>
      </c>
      <c r="G10" s="4" t="s">
        <v>66</v>
      </c>
    </row>
    <row r="11" spans="1:7" ht="20" customHeight="1" x14ac:dyDescent="0.3">
      <c r="A11" s="9"/>
      <c r="B11" s="3" t="s">
        <v>15</v>
      </c>
      <c r="C11" s="3">
        <v>30</v>
      </c>
      <c r="D11" s="3">
        <v>12</v>
      </c>
      <c r="E11" s="3" t="s">
        <v>16</v>
      </c>
      <c r="F11" s="3">
        <v>10</v>
      </c>
      <c r="G11" s="4" t="s">
        <v>67</v>
      </c>
    </row>
    <row r="12" spans="1:7" ht="20" customHeight="1" x14ac:dyDescent="0.3">
      <c r="A12" s="9" t="s">
        <v>41</v>
      </c>
      <c r="B12" s="3" t="s">
        <v>36</v>
      </c>
      <c r="C12" s="3">
        <v>4</v>
      </c>
      <c r="D12" s="3">
        <v>8</v>
      </c>
      <c r="E12" s="3">
        <v>3</v>
      </c>
      <c r="F12" s="3">
        <v>0</v>
      </c>
      <c r="G12" s="4" t="s">
        <v>71</v>
      </c>
    </row>
    <row r="13" spans="1:7" ht="20" customHeight="1" x14ac:dyDescent="0.3">
      <c r="A13" s="9"/>
      <c r="B13" s="3" t="s">
        <v>35</v>
      </c>
      <c r="C13" s="3">
        <v>8</v>
      </c>
      <c r="D13" s="6" t="s">
        <v>68</v>
      </c>
      <c r="E13" s="3">
        <v>3</v>
      </c>
      <c r="F13" s="3">
        <v>5</v>
      </c>
      <c r="G13" s="4" t="s">
        <v>70</v>
      </c>
    </row>
    <row r="14" spans="1:7" ht="20" customHeight="1" x14ac:dyDescent="0.3">
      <c r="A14" s="9"/>
      <c r="B14" s="3" t="s">
        <v>38</v>
      </c>
      <c r="C14" s="3">
        <v>8</v>
      </c>
      <c r="D14" s="6" t="s">
        <v>69</v>
      </c>
      <c r="E14" s="3">
        <v>5</v>
      </c>
      <c r="F14" s="3">
        <v>0</v>
      </c>
      <c r="G14" s="4" t="s">
        <v>72</v>
      </c>
    </row>
    <row r="15" spans="1:7" ht="20" customHeight="1" x14ac:dyDescent="0.3">
      <c r="A15" s="9"/>
      <c r="B15" s="3" t="s">
        <v>39</v>
      </c>
      <c r="C15" s="6" t="s">
        <v>73</v>
      </c>
      <c r="D15" s="3">
        <v>10</v>
      </c>
      <c r="E15" s="3">
        <v>0</v>
      </c>
      <c r="F15" s="3">
        <v>10</v>
      </c>
      <c r="G15" s="4" t="s">
        <v>74</v>
      </c>
    </row>
    <row r="16" spans="1:7" ht="20" customHeight="1" x14ac:dyDescent="0.3">
      <c r="A16" s="9"/>
      <c r="B16" s="3" t="s">
        <v>37</v>
      </c>
      <c r="C16" s="3">
        <v>28</v>
      </c>
      <c r="D16" s="3">
        <v>8</v>
      </c>
      <c r="E16" s="3" t="s">
        <v>13</v>
      </c>
      <c r="F16" s="3">
        <v>0</v>
      </c>
      <c r="G16" s="4" t="s">
        <v>75</v>
      </c>
    </row>
    <row r="17" spans="1:2" ht="20" customHeight="1" x14ac:dyDescent="0.3">
      <c r="A17" s="9" t="s">
        <v>18</v>
      </c>
      <c r="B17" s="3" t="s">
        <v>21</v>
      </c>
    </row>
    <row r="18" spans="1:2" ht="20" customHeight="1" x14ac:dyDescent="0.3">
      <c r="A18" s="9"/>
      <c r="B18" s="3" t="s">
        <v>23</v>
      </c>
    </row>
    <row r="19" spans="1:2" ht="20" customHeight="1" x14ac:dyDescent="0.3">
      <c r="A19" s="9"/>
      <c r="B19" s="3" t="s">
        <v>27</v>
      </c>
    </row>
    <row r="20" spans="1:2" ht="20" customHeight="1" x14ac:dyDescent="0.3">
      <c r="A20" s="9"/>
      <c r="B20" s="3" t="s">
        <v>20</v>
      </c>
    </row>
    <row r="21" spans="1:2" ht="20" customHeight="1" x14ac:dyDescent="0.3">
      <c r="A21" s="9"/>
      <c r="B21" s="3" t="s">
        <v>19</v>
      </c>
    </row>
    <row r="22" spans="1:2" ht="20" customHeight="1" x14ac:dyDescent="0.3">
      <c r="A22" s="9" t="s">
        <v>28</v>
      </c>
      <c r="B22" s="3" t="s">
        <v>24</v>
      </c>
    </row>
    <row r="23" spans="1:2" ht="20" customHeight="1" x14ac:dyDescent="0.3">
      <c r="A23" s="9"/>
      <c r="B23" s="3" t="s">
        <v>30</v>
      </c>
    </row>
    <row r="24" spans="1:2" ht="20" customHeight="1" x14ac:dyDescent="0.3">
      <c r="A24" s="9"/>
      <c r="B24" s="3" t="s">
        <v>31</v>
      </c>
    </row>
    <row r="25" spans="1:2" ht="20" customHeight="1" x14ac:dyDescent="0.3">
      <c r="A25" s="9"/>
      <c r="B25" s="3" t="s">
        <v>32</v>
      </c>
    </row>
    <row r="26" spans="1:2" ht="20" customHeight="1" x14ac:dyDescent="0.3">
      <c r="A26" s="9"/>
      <c r="B26" s="3" t="s">
        <v>33</v>
      </c>
    </row>
  </sheetData>
  <mergeCells count="5">
    <mergeCell ref="A22:A26"/>
    <mergeCell ref="A12:A16"/>
    <mergeCell ref="A2:A6"/>
    <mergeCell ref="A7:A11"/>
    <mergeCell ref="A17:A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50B4-5030-4AAB-9176-CDA0685ACB33}">
  <dimension ref="A1:G11"/>
  <sheetViews>
    <sheetView workbookViewId="0">
      <selection activeCell="D10" sqref="D10"/>
    </sheetView>
  </sheetViews>
  <sheetFormatPr defaultRowHeight="20" customHeight="1" x14ac:dyDescent="0.3"/>
  <cols>
    <col min="1" max="1" width="22.6640625" style="1" customWidth="1"/>
    <col min="2" max="2" width="21.5" style="1" customWidth="1"/>
    <col min="3" max="3" width="11.58203125" style="1" customWidth="1"/>
    <col min="4" max="4" width="11.25" style="1" customWidth="1"/>
    <col min="5" max="5" width="10.75" style="1" customWidth="1"/>
    <col min="6" max="6" width="10.25" style="1" customWidth="1"/>
    <col min="7" max="7" width="85.4140625" style="2" customWidth="1"/>
  </cols>
  <sheetData>
    <row r="1" spans="1:7" ht="2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2" t="s">
        <v>4</v>
      </c>
    </row>
    <row r="2" spans="1:7" ht="20" customHeight="1" x14ac:dyDescent="0.3">
      <c r="A2" s="10"/>
      <c r="B2" s="1" t="s">
        <v>17</v>
      </c>
      <c r="C2" s="1">
        <v>3</v>
      </c>
      <c r="D2" s="1">
        <v>10</v>
      </c>
      <c r="E2" s="1">
        <v>0</v>
      </c>
      <c r="F2" s="1">
        <v>0</v>
      </c>
    </row>
    <row r="3" spans="1:7" ht="20" customHeight="1" x14ac:dyDescent="0.3">
      <c r="A3" s="10"/>
    </row>
    <row r="4" spans="1:7" ht="20" customHeight="1" x14ac:dyDescent="0.3">
      <c r="A4" s="10"/>
    </row>
    <row r="5" spans="1:7" ht="20" customHeight="1" x14ac:dyDescent="0.3">
      <c r="A5" s="10"/>
    </row>
    <row r="6" spans="1:7" ht="20" customHeight="1" x14ac:dyDescent="0.3">
      <c r="A6" s="10"/>
    </row>
    <row r="7" spans="1:7" ht="20" customHeight="1" x14ac:dyDescent="0.3">
      <c r="A7" s="10"/>
    </row>
    <row r="8" spans="1:7" ht="20" customHeight="1" x14ac:dyDescent="0.3">
      <c r="A8" s="10"/>
    </row>
    <row r="9" spans="1:7" ht="20" customHeight="1" x14ac:dyDescent="0.3">
      <c r="A9" s="10"/>
    </row>
    <row r="10" spans="1:7" ht="20" customHeight="1" x14ac:dyDescent="0.3">
      <c r="A10" s="10"/>
    </row>
    <row r="11" spans="1:7" ht="20" customHeight="1" x14ac:dyDescent="0.3">
      <c r="A11" s="10"/>
    </row>
  </sheetData>
  <mergeCells count="2">
    <mergeCell ref="A2:A6"/>
    <mergeCell ref="A7:A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26BB-2A03-458E-B100-9B02FF0BA4D2}">
  <dimension ref="A1:N6"/>
  <sheetViews>
    <sheetView workbookViewId="0">
      <selection activeCell="G8" sqref="G8"/>
    </sheetView>
  </sheetViews>
  <sheetFormatPr defaultRowHeight="18" customHeight="1" x14ac:dyDescent="0.3"/>
  <cols>
    <col min="2" max="2" width="44" customWidth="1"/>
    <col min="3" max="3" width="8.6640625" customWidth="1"/>
  </cols>
  <sheetData>
    <row r="1" spans="1:14" ht="18" customHeight="1" x14ac:dyDescent="0.3">
      <c r="A1" t="s">
        <v>42</v>
      </c>
      <c r="B1" t="s">
        <v>48</v>
      </c>
      <c r="C1" s="11" t="s">
        <v>65</v>
      </c>
      <c r="D1" s="11"/>
      <c r="E1" s="11"/>
      <c r="F1" s="11"/>
      <c r="G1" s="11"/>
      <c r="H1" s="11"/>
      <c r="I1" s="11"/>
      <c r="J1" s="11"/>
      <c r="K1" s="11"/>
      <c r="L1" s="11"/>
    </row>
    <row r="2" spans="1:14" ht="18" customHeight="1" x14ac:dyDescent="0.3">
      <c r="A2" t="s">
        <v>43</v>
      </c>
      <c r="B2" t="s">
        <v>76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</row>
    <row r="3" spans="1:14" ht="18" customHeight="1" x14ac:dyDescent="0.3">
      <c r="A3" t="s">
        <v>44</v>
      </c>
      <c r="B3" t="s">
        <v>49</v>
      </c>
      <c r="C3" s="8">
        <f>1/C2^0.5</f>
        <v>1</v>
      </c>
      <c r="D3" s="8">
        <f t="shared" ref="D3:N3" si="0">1/D2^0.5</f>
        <v>0.70710678118654746</v>
      </c>
      <c r="E3" s="8">
        <f t="shared" si="0"/>
        <v>0.57735026918962584</v>
      </c>
      <c r="F3" s="8">
        <f t="shared" si="0"/>
        <v>0.5</v>
      </c>
      <c r="G3" s="8">
        <f t="shared" si="0"/>
        <v>0.44721359549995793</v>
      </c>
      <c r="H3" s="8">
        <f t="shared" si="0"/>
        <v>0.40824829046386307</v>
      </c>
      <c r="I3" s="8">
        <f t="shared" si="0"/>
        <v>0.3779644730092272</v>
      </c>
      <c r="J3" s="8">
        <f t="shared" si="0"/>
        <v>0.35355339059327373</v>
      </c>
      <c r="K3" s="8">
        <f t="shared" si="0"/>
        <v>0.33333333333333331</v>
      </c>
      <c r="L3" s="8">
        <f t="shared" si="0"/>
        <v>0.31622776601683794</v>
      </c>
      <c r="M3" s="8">
        <f t="shared" si="0"/>
        <v>0.30151134457776363</v>
      </c>
      <c r="N3" s="8">
        <f t="shared" si="0"/>
        <v>0.28867513459481292</v>
      </c>
    </row>
    <row r="4" spans="1:14" ht="18" customHeight="1" x14ac:dyDescent="0.3">
      <c r="A4" t="s">
        <v>46</v>
      </c>
      <c r="B4" t="s">
        <v>50</v>
      </c>
    </row>
    <row r="5" spans="1:14" ht="18" customHeight="1" x14ac:dyDescent="0.3">
      <c r="A5" t="s">
        <v>45</v>
      </c>
      <c r="B5" t="s">
        <v>51</v>
      </c>
    </row>
    <row r="6" spans="1:14" ht="18" customHeight="1" x14ac:dyDescent="0.3">
      <c r="A6" t="s">
        <v>47</v>
      </c>
      <c r="B6" t="s">
        <v>77</v>
      </c>
    </row>
  </sheetData>
  <mergeCells count="1">
    <mergeCell ref="C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Special</vt:lpstr>
      <vt:lpstr>General</vt:lpstr>
      <vt:lpstr>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Bo Ni</cp:lastModifiedBy>
  <dcterms:created xsi:type="dcterms:W3CDTF">2015-06-05T18:19:34Z</dcterms:created>
  <dcterms:modified xsi:type="dcterms:W3CDTF">2025-06-29T07:14:18Z</dcterms:modified>
</cp:coreProperties>
</file>